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definedNames>
    <definedName function="false" hidden="false" localSheetId="0" name="_xlnm.Print_Titles" vbProcedure="false">BOM!$4:$4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<sst xmlns="http://schemas.openxmlformats.org/spreadsheetml/2006/main" count="167" uniqueCount="163">
  <si>
    <t xml:space="preserve">Project ARGUS — Bill of Materials (COTS Enhanced)</t>
  </si>
  <si>
    <t xml:space="preserve">8.0m wingspan · 11.5 kg MTOW · Unit cost target: $4,800</t>
  </si>
  <si>
    <t xml:space="preserve">Category</t>
  </si>
  <si>
    <t xml:space="preserve">Component</t>
  </si>
  <si>
    <t xml:space="preserve">Part Number</t>
  </si>
  <si>
    <t xml:space="preserve">Qty</t>
  </si>
  <si>
    <t xml:space="preserve">Unit Cost</t>
  </si>
  <si>
    <t xml:space="preserve">Ext Cost</t>
  </si>
  <si>
    <t xml:space="preserve">Supplier</t>
  </si>
  <si>
    <t xml:space="preserve">Notes</t>
  </si>
  <si>
    <t xml:space="preserve">COMPUTE</t>
  </si>
  <si>
    <t xml:space="preserve">Jetson Orin Nano 8GB</t>
  </si>
  <si>
    <t xml:space="preserve">945-13766-0000-000</t>
  </si>
  <si>
    <t xml:space="preserve">NVIDIA / Arrow</t>
  </si>
  <si>
    <t xml:space="preserve">Main edge compute, 40 TOPS, 15W TDP</t>
  </si>
  <si>
    <t xml:space="preserve">eMMC Module 64GB</t>
  </si>
  <si>
    <t xml:space="preserve">SFEM064GB2ED1TB-I-5E-111-STD</t>
  </si>
  <si>
    <t xml:space="preserve">Swissbit / Digikey</t>
  </si>
  <si>
    <t xml:space="preserve">Boot + model storage</t>
  </si>
  <si>
    <t xml:space="preserve">Heatsink + Fan (5V)</t>
  </si>
  <si>
    <t xml:space="preserve">ICE Tower Orin</t>
  </si>
  <si>
    <t xml:space="preserve">Waveshare</t>
  </si>
  <si>
    <t xml:space="preserve">Stratospheric cooling (low convection)</t>
  </si>
  <si>
    <t xml:space="preserve">SENSORS</t>
  </si>
  <si>
    <t xml:space="preserve">FLIR Lepton 3.5 (LWIR)</t>
  </si>
  <si>
    <t xml:space="preserve">500-0771-01</t>
  </si>
  <si>
    <t xml:space="preserve">GroupGets / Digikey</t>
  </si>
  <si>
    <t xml:space="preserve">Upward LWIR 160×120, 8-14µm, VoSPI</t>
  </si>
  <si>
    <t xml:space="preserve">Lepton Breakout Board v2</t>
  </si>
  <si>
    <t xml:space="preserve">FLIR-BRKOUT</t>
  </si>
  <si>
    <t xml:space="preserve">GroupGets</t>
  </si>
  <si>
    <t xml:space="preserve">SPI+I²C interface to Jetson</t>
  </si>
  <si>
    <t xml:space="preserve">RPi HQ Camera (EO)</t>
  </si>
  <si>
    <t xml:space="preserve">SC0261</t>
  </si>
  <si>
    <t xml:space="preserve">Raspberry Pi / Adafruit</t>
  </si>
  <si>
    <t xml:space="preserve">Downward EO, IMX477, 12.3MP, CSI-2</t>
  </si>
  <si>
    <t xml:space="preserve">C-mount Lens 6mm f/1.2</t>
  </si>
  <si>
    <t xml:space="preserve">PT0612BMP</t>
  </si>
  <si>
    <t xml:space="preserve">Arducam</t>
  </si>
  <si>
    <t xml:space="preserve">Wide FoV for verification imaging</t>
  </si>
  <si>
    <t xml:space="preserve">Insta360 X4 Module</t>
  </si>
  <si>
    <t xml:space="preserve">CINSABMA</t>
  </si>
  <si>
    <t xml:space="preserve">Insta360</t>
  </si>
  <si>
    <t xml:space="preserve">360° situational awareness, 4K, USB</t>
  </si>
  <si>
    <t xml:space="preserve">ICS-43434 MEMS Mic</t>
  </si>
  <si>
    <t xml:space="preserve">ICS-43434</t>
  </si>
  <si>
    <t xml:space="preserve">TDK / Mouser</t>
  </si>
  <si>
    <t xml:space="preserve">Infrasound array, I²S, -26dB SNR</t>
  </si>
  <si>
    <t xml:space="preserve">MS4525DO Diff Pressure</t>
  </si>
  <si>
    <t xml:space="preserve">MS4525DO-DS5AI001DP</t>
  </si>
  <si>
    <t xml:space="preserve">TE Connectivity / Mouser</t>
  </si>
  <si>
    <t xml:space="preserve">Pitot probe, I²C, ±1 psi</t>
  </si>
  <si>
    <t xml:space="preserve">BMP390 Barometric</t>
  </si>
  <si>
    <t xml:space="preserve">BMP390</t>
  </si>
  <si>
    <t xml:space="preserve">Bosch / Digikey</t>
  </si>
  <si>
    <t xml:space="preserve">Altitude ref, I²C, ±0.03 hPa</t>
  </si>
  <si>
    <t xml:space="preserve">NAVIGATION</t>
  </si>
  <si>
    <t xml:space="preserve">u-blox NEO-M9N GPS</t>
  </si>
  <si>
    <t xml:space="preserve">NEO-M9N-00B</t>
  </si>
  <si>
    <t xml:space="preserve">u-blox / Sparkfun</t>
  </si>
  <si>
    <t xml:space="preserve">Multi-GNSS, 25Hz, UART</t>
  </si>
  <si>
    <t xml:space="preserve">GPS Active Antenna</t>
  </si>
  <si>
    <t xml:space="preserve">ANT-GNSS-PA25</t>
  </si>
  <si>
    <t xml:space="preserve">Taoglas / Mouser</t>
  </si>
  <si>
    <t xml:space="preserve">Patch antenna, u.FL, 28dB gain</t>
  </si>
  <si>
    <t xml:space="preserve">BMI088 IMU</t>
  </si>
  <si>
    <t xml:space="preserve">BMI088</t>
  </si>
  <si>
    <t xml:space="preserve">6-axis, gyro+accel, SPI</t>
  </si>
  <si>
    <t xml:space="preserve">COMMS</t>
  </si>
  <si>
    <t xml:space="preserve">SX1262 LoRa Module</t>
  </si>
  <si>
    <t xml:space="preserve">E22-900T30D</t>
  </si>
  <si>
    <t xml:space="preserve">Ebyte / Amazon</t>
  </si>
  <si>
    <t xml:space="preserve">915MHz, 30dBm, swarm mesh, SPI</t>
  </si>
  <si>
    <t xml:space="preserve">LoRa Antenna 915MHz</t>
  </si>
  <si>
    <t xml:space="preserve">915MHz 5dBi</t>
  </si>
  <si>
    <t xml:space="preserve">Generic / Amazon</t>
  </si>
  <si>
    <t xml:space="preserve">Dipole, SMA, 5dBi</t>
  </si>
  <si>
    <t xml:space="preserve">RockBLOCK 9603</t>
  </si>
  <si>
    <t xml:space="preserve">RB9603</t>
  </si>
  <si>
    <t xml:space="preserve">Rock Seven / Ground Control</t>
  </si>
  <si>
    <t xml:space="preserve">Iridium SBD sat modem, UART</t>
  </si>
  <si>
    <t xml:space="preserve">Iridium Antenna</t>
  </si>
  <si>
    <t xml:space="preserve">Iridium patch</t>
  </si>
  <si>
    <t xml:space="preserve">Tallysman / Mouser</t>
  </si>
  <si>
    <t xml:space="preserve">1616 MHz patch, SMA</t>
  </si>
  <si>
    <t xml:space="preserve">POWER</t>
  </si>
  <si>
    <t xml:space="preserve">GaAs Solar Cells 5×5cm</t>
  </si>
  <si>
    <t xml:space="preserve">TJ Solar 3J</t>
  </si>
  <si>
    <t xml:space="preserve">AzurSpace / Alibaba</t>
  </si>
  <si>
    <t xml:space="preserve">28% eff, 3-junction, series-parallel</t>
  </si>
  <si>
    <t xml:space="preserve">MPPT Solar Controller</t>
  </si>
  <si>
    <t xml:space="preserve">SPV1050 eval board</t>
  </si>
  <si>
    <t xml:space="preserve">STMicro / Mouser</t>
  </si>
  <si>
    <t xml:space="preserve">Max power point tracking, dual string</t>
  </si>
  <si>
    <t xml:space="preserve">LiPo 4S 5000mAh</t>
  </si>
  <si>
    <t xml:space="preserve">Tattu 4S 5000</t>
  </si>
  <si>
    <t xml:space="preserve">Tattu / Amazon</t>
  </si>
  <si>
    <t xml:space="preserve">14.8V, 74Wh, overnight energy store</t>
  </si>
  <si>
    <t xml:space="preserve">BMS 4S 15A</t>
  </si>
  <si>
    <t xml:space="preserve">HX-4S-A15</t>
  </si>
  <si>
    <t xml:space="preserve">Balance + protection</t>
  </si>
  <si>
    <t xml:space="preserve">TPS563200 5V Buck</t>
  </si>
  <si>
    <t xml:space="preserve">TPS563200DDCR</t>
  </si>
  <si>
    <t xml:space="preserve">TI / Digikey</t>
  </si>
  <si>
    <t xml:space="preserve">3A step-down, powers Jetson + sensors</t>
  </si>
  <si>
    <t xml:space="preserve">AP2112K 3.3V LDO</t>
  </si>
  <si>
    <t xml:space="preserve">AP2112K-3.3TRG1</t>
  </si>
  <si>
    <t xml:space="preserve">Diodes Inc / Digikey</t>
  </si>
  <si>
    <t xml:space="preserve">600mA LDO, sensor logic rail</t>
  </si>
  <si>
    <t xml:space="preserve">INA226 Power Monitor</t>
  </si>
  <si>
    <t xml:space="preserve">INA226AIDGSR</t>
  </si>
  <si>
    <t xml:space="preserve">I²C current/voltage monitor</t>
  </si>
  <si>
    <t xml:space="preserve">PROPULSION</t>
  </si>
  <si>
    <t xml:space="preserve">T-Motor U3 KV700</t>
  </si>
  <si>
    <t xml:space="preserve">U3 KV700</t>
  </si>
  <si>
    <t xml:space="preserve">T-Motor / GetFPV</t>
  </si>
  <si>
    <t xml:space="preserve">Brushless outrunner, 180W max</t>
  </si>
  <si>
    <t xml:space="preserve">BLHeli_32 35A ESC</t>
  </si>
  <si>
    <t xml:space="preserve">Tekko32 35A</t>
  </si>
  <si>
    <t xml:space="preserve">Holybro / GetFPV</t>
  </si>
  <si>
    <t xml:space="preserve">PWM input, telemetry</t>
  </si>
  <si>
    <t xml:space="preserve">APC 20×10E Prop</t>
  </si>
  <si>
    <t xml:space="preserve">LP20010E</t>
  </si>
  <si>
    <t xml:space="preserve">APC / amainhobbies</t>
  </si>
  <si>
    <t xml:space="preserve">50cm slow-fly, 2 flight + 2 spare</t>
  </si>
  <si>
    <t xml:space="preserve">STRUCTURE</t>
  </si>
  <si>
    <t xml:space="preserve">CF Tube 12mm OD</t>
  </si>
  <si>
    <t xml:space="preserve">CF-12-1000</t>
  </si>
  <si>
    <t xml:space="preserve">DragonPlate / Amazon</t>
  </si>
  <si>
    <t xml:space="preserve">Wing spar, booms, 1m lengths</t>
  </si>
  <si>
    <t xml:space="preserve">CF Sheet 1mm</t>
  </si>
  <si>
    <t xml:space="preserve">CF-SHEET-300x600</t>
  </si>
  <si>
    <t xml:space="preserve">DragonPlate</t>
  </si>
  <si>
    <t xml:space="preserve">Ribs, fittings, nacelle shell</t>
  </si>
  <si>
    <t xml:space="preserve">Kevlar/CF Skin Fabric</t>
  </si>
  <si>
    <t xml:space="preserve">K49-CF-200gsm</t>
  </si>
  <si>
    <t xml:space="preserve">Fibreglast</t>
  </si>
  <si>
    <t xml:space="preserve">Wing skin, fuselage shell, sq meter</t>
  </si>
  <si>
    <t xml:space="preserve">Epoxy Resin System</t>
  </si>
  <si>
    <t xml:space="preserve">West System 105/206</t>
  </si>
  <si>
    <t xml:space="preserve">West System</t>
  </si>
  <si>
    <t xml:space="preserve">Laminating resin + slow hardener</t>
  </si>
  <si>
    <t xml:space="preserve">Servo ×4 (control)</t>
  </si>
  <si>
    <t xml:space="preserve">DS3218MG</t>
  </si>
  <si>
    <t xml:space="preserve">DSSERVO / Amazon</t>
  </si>
  <si>
    <t xml:space="preserve">Rudder + elevator actuation</t>
  </si>
  <si>
    <t xml:space="preserve">Connectors &amp; Wire</t>
  </si>
  <si>
    <t xml:space="preserve">JST-GH, XT60, 22AWG</t>
  </si>
  <si>
    <t xml:space="preserve">Various</t>
  </si>
  <si>
    <t xml:space="preserve">Harness, signal + power cables</t>
  </si>
  <si>
    <t xml:space="preserve">PCB Carrier Board</t>
  </si>
  <si>
    <t xml:space="preserve">Custom 4-layer</t>
  </si>
  <si>
    <t xml:space="preserve">JLCPCB</t>
  </si>
  <si>
    <t xml:space="preserve">Sensor interface + power distribution</t>
  </si>
  <si>
    <t xml:space="preserve">Misc Hardware</t>
  </si>
  <si>
    <t xml:space="preserve">Standoffs, screws, heatshrink</t>
  </si>
  <si>
    <t xml:space="preserve">Assembly hardware</t>
  </si>
  <si>
    <t xml:space="preserve">TOTAL UNIT COST</t>
  </si>
  <si>
    <t xml:space="preserve">Notes:</t>
  </si>
  <si>
    <t xml:space="preserve">Prices as of May 2026; bulk discounts available for 50+ unit orders (est. 15-20% reduction).</t>
  </si>
  <si>
    <t xml:space="preserve">Solar cells priced for surplus/secondary market; prime AzurSpace cells ~$15/ea.</t>
  </si>
  <si>
    <t xml:space="preserve">PCB carrier board is a custom 4-layer designed for Jetson Orin Nano form factor.</t>
  </si>
  <si>
    <t xml:space="preserve">Weight budget: ~1.8 kg avionics + sensors, ~2.2 kg structure, ~1.5 kg battery, ~0.8 kg propulsion, ~5.2 kg solar.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</si>
</sst>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A5C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Consolas"/>
      <family val="0"/>
      <charset val="1"/>
    </font>
    <font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3A5C"/>
        <bgColor rgb="FF333399"/>
      </patternFill>
    </fill>
    <fill>
      <patternFill patternType="solid">
        <fgColor rgb="FF2C5F8A"/>
        <bgColor rgb="FF555555"/>
      </patternFill>
    </fill>
    <fill>
      <patternFill patternType="solid">
        <fgColor rgb="FFE8F4FD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double">
        <color rgb="FF1B3A5C"/>
      </top>
      <bottom style="double">
        <color rgb="FF1B3A5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8F4FD"/>
      <rgbColor rgb="FF660066"/>
      <rgbColor rgb="FFFF8080"/>
      <rgbColor rgb="FF2C5F8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6"/>
    <col collapsed="false" customWidth="true" hidden="false" outlineLevel="0" max="6" min="5" style="0" width="12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5"/>
      <c r="B6" s="5" t="s">
        <v>11</v>
      </c>
      <c r="C6" s="6" t="s">
        <v>12</v>
      </c>
      <c r="D6" s="7" t="n">
        <v>1</v>
      </c>
      <c r="E6" s="8" t="n">
        <v>199</v>
      </c>
      <c r="F6" s="8" t="n">
        <f aca="false">D6*E6</f>
        <v>199</v>
      </c>
      <c r="G6" s="5" t="s">
        <v>13</v>
      </c>
      <c r="H6" s="9" t="s">
        <v>14</v>
      </c>
    </row>
    <row r="7" customFormat="false" ht="15" hidden="false" customHeight="false" outlineLevel="0" collapsed="false">
      <c r="A7" s="5"/>
      <c r="B7" s="5" t="s">
        <v>15</v>
      </c>
      <c r="C7" s="6" t="s">
        <v>16</v>
      </c>
      <c r="D7" s="7" t="n">
        <v>1</v>
      </c>
      <c r="E7" s="8" t="n">
        <v>28</v>
      </c>
      <c r="F7" s="8" t="n">
        <f aca="false">D7*E7</f>
        <v>28</v>
      </c>
      <c r="G7" s="5" t="s">
        <v>17</v>
      </c>
      <c r="H7" s="9" t="s">
        <v>18</v>
      </c>
    </row>
    <row r="8" customFormat="false" ht="15" hidden="false" customHeight="false" outlineLevel="0" collapsed="false">
      <c r="A8" s="5"/>
      <c r="B8" s="5" t="s">
        <v>19</v>
      </c>
      <c r="C8" s="6" t="s">
        <v>20</v>
      </c>
      <c r="D8" s="7" t="n">
        <v>1</v>
      </c>
      <c r="E8" s="8" t="n">
        <v>15</v>
      </c>
      <c r="F8" s="8" t="n">
        <f aca="false">D8*E8</f>
        <v>15</v>
      </c>
      <c r="G8" s="5" t="s">
        <v>21</v>
      </c>
      <c r="H8" s="9" t="s">
        <v>22</v>
      </c>
    </row>
    <row r="10" customFormat="false" ht="15" hidden="false" customHeight="false" outlineLevel="0" collapsed="false">
      <c r="A10" s="4" t="s">
        <v>23</v>
      </c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5"/>
      <c r="B11" s="5" t="s">
        <v>24</v>
      </c>
      <c r="C11" s="6" t="s">
        <v>25</v>
      </c>
      <c r="D11" s="7" t="n">
        <v>2</v>
      </c>
      <c r="E11" s="8" t="n">
        <v>249</v>
      </c>
      <c r="F11" s="8" t="n">
        <f aca="false">D11*E11</f>
        <v>498</v>
      </c>
      <c r="G11" s="5" t="s">
        <v>26</v>
      </c>
      <c r="H11" s="9" t="s">
        <v>27</v>
      </c>
    </row>
    <row r="12" customFormat="false" ht="15" hidden="false" customHeight="false" outlineLevel="0" collapsed="false">
      <c r="A12" s="5"/>
      <c r="B12" s="5" t="s">
        <v>28</v>
      </c>
      <c r="C12" s="6" t="s">
        <v>29</v>
      </c>
      <c r="D12" s="7" t="n">
        <v>2</v>
      </c>
      <c r="E12" s="8" t="n">
        <v>30</v>
      </c>
      <c r="F12" s="8" t="n">
        <f aca="false">D12*E12</f>
        <v>60</v>
      </c>
      <c r="G12" s="5" t="s">
        <v>30</v>
      </c>
      <c r="H12" s="9" t="s">
        <v>31</v>
      </c>
    </row>
    <row r="13" customFormat="false" ht="15" hidden="false" customHeight="false" outlineLevel="0" collapsed="false">
      <c r="A13" s="5"/>
      <c r="B13" s="5" t="s">
        <v>32</v>
      </c>
      <c r="C13" s="6" t="s">
        <v>33</v>
      </c>
      <c r="D13" s="7" t="n">
        <v>1</v>
      </c>
      <c r="E13" s="8" t="n">
        <v>50</v>
      </c>
      <c r="F13" s="8" t="n">
        <f aca="false">D13*E13</f>
        <v>50</v>
      </c>
      <c r="G13" s="5" t="s">
        <v>34</v>
      </c>
      <c r="H13" s="9" t="s">
        <v>35</v>
      </c>
    </row>
    <row r="14" customFormat="false" ht="15" hidden="false" customHeight="false" outlineLevel="0" collapsed="false">
      <c r="A14" s="5"/>
      <c r="B14" s="5" t="s">
        <v>36</v>
      </c>
      <c r="C14" s="6" t="s">
        <v>37</v>
      </c>
      <c r="D14" s="7" t="n">
        <v>1</v>
      </c>
      <c r="E14" s="8" t="n">
        <v>35</v>
      </c>
      <c r="F14" s="8" t="n">
        <f aca="false">D14*E14</f>
        <v>35</v>
      </c>
      <c r="G14" s="5" t="s">
        <v>38</v>
      </c>
      <c r="H14" s="9" t="s">
        <v>39</v>
      </c>
    </row>
    <row r="15" customFormat="false" ht="15" hidden="false" customHeight="false" outlineLevel="0" collapsed="false">
      <c r="A15" s="5"/>
      <c r="B15" s="5" t="s">
        <v>40</v>
      </c>
      <c r="C15" s="6" t="s">
        <v>41</v>
      </c>
      <c r="D15" s="7" t="n">
        <v>1</v>
      </c>
      <c r="E15" s="8" t="n">
        <v>300</v>
      </c>
      <c r="F15" s="8" t="n">
        <f aca="false">D15*E15</f>
        <v>300</v>
      </c>
      <c r="G15" s="5" t="s">
        <v>42</v>
      </c>
      <c r="H15" s="9" t="s">
        <v>43</v>
      </c>
    </row>
    <row r="16" customFormat="false" ht="15" hidden="false" customHeight="false" outlineLevel="0" collapsed="false">
      <c r="A16" s="5"/>
      <c r="B16" s="5" t="s">
        <v>44</v>
      </c>
      <c r="C16" s="6" t="s">
        <v>45</v>
      </c>
      <c r="D16" s="7" t="n">
        <v>8</v>
      </c>
      <c r="E16" s="8" t="n">
        <v>4.5</v>
      </c>
      <c r="F16" s="8" t="n">
        <f aca="false">D16*E16</f>
        <v>36</v>
      </c>
      <c r="G16" s="5" t="s">
        <v>46</v>
      </c>
      <c r="H16" s="9" t="s">
        <v>47</v>
      </c>
    </row>
    <row r="17" customFormat="false" ht="15" hidden="false" customHeight="false" outlineLevel="0" collapsed="false">
      <c r="A17" s="5"/>
      <c r="B17" s="5" t="s">
        <v>48</v>
      </c>
      <c r="C17" s="6" t="s">
        <v>49</v>
      </c>
      <c r="D17" s="7" t="n">
        <v>1</v>
      </c>
      <c r="E17" s="8" t="n">
        <v>48</v>
      </c>
      <c r="F17" s="8" t="n">
        <f aca="false">D17*E17</f>
        <v>48</v>
      </c>
      <c r="G17" s="5" t="s">
        <v>50</v>
      </c>
      <c r="H17" s="9" t="s">
        <v>51</v>
      </c>
    </row>
    <row r="18" customFormat="false" ht="15" hidden="false" customHeight="false" outlineLevel="0" collapsed="false">
      <c r="A18" s="5"/>
      <c r="B18" s="5" t="s">
        <v>52</v>
      </c>
      <c r="C18" s="6" t="s">
        <v>53</v>
      </c>
      <c r="D18" s="7" t="n">
        <v>2</v>
      </c>
      <c r="E18" s="8" t="n">
        <v>8.5</v>
      </c>
      <c r="F18" s="8" t="n">
        <f aca="false">D18*E18</f>
        <v>17</v>
      </c>
      <c r="G18" s="5" t="s">
        <v>54</v>
      </c>
      <c r="H18" s="9" t="s">
        <v>55</v>
      </c>
    </row>
    <row r="20" customFormat="false" ht="15" hidden="false" customHeight="false" outlineLevel="0" collapsed="false">
      <c r="A20" s="4" t="s">
        <v>56</v>
      </c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5"/>
      <c r="B21" s="5" t="s">
        <v>57</v>
      </c>
      <c r="C21" s="6" t="s">
        <v>58</v>
      </c>
      <c r="D21" s="7" t="n">
        <v>1</v>
      </c>
      <c r="E21" s="8" t="n">
        <v>32</v>
      </c>
      <c r="F21" s="8" t="n">
        <f aca="false">D21*E21</f>
        <v>32</v>
      </c>
      <c r="G21" s="5" t="s">
        <v>59</v>
      </c>
      <c r="H21" s="9" t="s">
        <v>60</v>
      </c>
    </row>
    <row r="22" customFormat="false" ht="15" hidden="false" customHeight="false" outlineLevel="0" collapsed="false">
      <c r="A22" s="5"/>
      <c r="B22" s="5" t="s">
        <v>61</v>
      </c>
      <c r="C22" s="6" t="s">
        <v>62</v>
      </c>
      <c r="D22" s="7" t="n">
        <v>1</v>
      </c>
      <c r="E22" s="8" t="n">
        <v>12</v>
      </c>
      <c r="F22" s="8" t="n">
        <f aca="false">D22*E22</f>
        <v>12</v>
      </c>
      <c r="G22" s="5" t="s">
        <v>63</v>
      </c>
      <c r="H22" s="9" t="s">
        <v>64</v>
      </c>
    </row>
    <row r="23" customFormat="false" ht="15" hidden="false" customHeight="false" outlineLevel="0" collapsed="false">
      <c r="A23" s="5"/>
      <c r="B23" s="5" t="s">
        <v>65</v>
      </c>
      <c r="C23" s="6" t="s">
        <v>66</v>
      </c>
      <c r="D23" s="7" t="n">
        <v>1</v>
      </c>
      <c r="E23" s="8" t="n">
        <v>9.5</v>
      </c>
      <c r="F23" s="8" t="n">
        <f aca="false">D23*E23</f>
        <v>9.5</v>
      </c>
      <c r="G23" s="5" t="s">
        <v>54</v>
      </c>
      <c r="H23" s="9" t="s">
        <v>67</v>
      </c>
    </row>
    <row r="25" customFormat="false" ht="15" hidden="false" customHeight="false" outlineLevel="0" collapsed="false">
      <c r="A25" s="4" t="s">
        <v>68</v>
      </c>
      <c r="B25" s="4"/>
      <c r="C25" s="4"/>
      <c r="D25" s="4"/>
      <c r="E25" s="4"/>
      <c r="F25" s="4"/>
      <c r="G25" s="4"/>
      <c r="H25" s="4"/>
    </row>
    <row r="26" customFormat="false" ht="15" hidden="false" customHeight="false" outlineLevel="0" collapsed="false">
      <c r="A26" s="5"/>
      <c r="B26" s="5" t="s">
        <v>69</v>
      </c>
      <c r="C26" s="6" t="s">
        <v>70</v>
      </c>
      <c r="D26" s="7" t="n">
        <v>2</v>
      </c>
      <c r="E26" s="8" t="n">
        <v>14</v>
      </c>
      <c r="F26" s="8" t="n">
        <f aca="false">D26*E26</f>
        <v>28</v>
      </c>
      <c r="G26" s="5" t="s">
        <v>71</v>
      </c>
      <c r="H26" s="9" t="s">
        <v>72</v>
      </c>
    </row>
    <row r="27" customFormat="false" ht="15" hidden="false" customHeight="false" outlineLevel="0" collapsed="false">
      <c r="A27" s="5"/>
      <c r="B27" s="5" t="s">
        <v>73</v>
      </c>
      <c r="C27" s="6" t="s">
        <v>74</v>
      </c>
      <c r="D27" s="7" t="n">
        <v>2</v>
      </c>
      <c r="E27" s="8" t="n">
        <v>5</v>
      </c>
      <c r="F27" s="8" t="n">
        <f aca="false">D27*E27</f>
        <v>10</v>
      </c>
      <c r="G27" s="5" t="s">
        <v>75</v>
      </c>
      <c r="H27" s="9" t="s">
        <v>76</v>
      </c>
    </row>
    <row r="28" customFormat="false" ht="15" hidden="false" customHeight="false" outlineLevel="0" collapsed="false">
      <c r="A28" s="5"/>
      <c r="B28" s="5" t="s">
        <v>77</v>
      </c>
      <c r="C28" s="6" t="s">
        <v>78</v>
      </c>
      <c r="D28" s="7" t="n">
        <v>1</v>
      </c>
      <c r="E28" s="8" t="n">
        <v>250</v>
      </c>
      <c r="F28" s="8" t="n">
        <f aca="false">D28*E28</f>
        <v>250</v>
      </c>
      <c r="G28" s="5" t="s">
        <v>79</v>
      </c>
      <c r="H28" s="9" t="s">
        <v>80</v>
      </c>
    </row>
    <row r="29" customFormat="false" ht="15" hidden="false" customHeight="false" outlineLevel="0" collapsed="false">
      <c r="A29" s="5"/>
      <c r="B29" s="5" t="s">
        <v>81</v>
      </c>
      <c r="C29" s="6" t="s">
        <v>82</v>
      </c>
      <c r="D29" s="7" t="n">
        <v>1</v>
      </c>
      <c r="E29" s="8" t="n">
        <v>45</v>
      </c>
      <c r="F29" s="8" t="n">
        <f aca="false">D29*E29</f>
        <v>45</v>
      </c>
      <c r="G29" s="5" t="s">
        <v>83</v>
      </c>
      <c r="H29" s="9" t="s">
        <v>84</v>
      </c>
    </row>
    <row r="31" customFormat="false" ht="15" hidden="false" customHeight="false" outlineLevel="0" collapsed="false">
      <c r="A31" s="4" t="s">
        <v>85</v>
      </c>
      <c r="B31" s="4"/>
      <c r="C31" s="4"/>
      <c r="D31" s="4"/>
      <c r="E31" s="4"/>
      <c r="F31" s="4"/>
      <c r="G31" s="4"/>
      <c r="H31" s="4"/>
    </row>
    <row r="32" customFormat="false" ht="15" hidden="false" customHeight="false" outlineLevel="0" collapsed="false">
      <c r="A32" s="5"/>
      <c r="B32" s="5" t="s">
        <v>86</v>
      </c>
      <c r="C32" s="6" t="s">
        <v>87</v>
      </c>
      <c r="D32" s="7" t="n">
        <v>72</v>
      </c>
      <c r="E32" s="8" t="n">
        <v>8</v>
      </c>
      <c r="F32" s="8" t="n">
        <f aca="false">D32*E32</f>
        <v>576</v>
      </c>
      <c r="G32" s="5" t="s">
        <v>88</v>
      </c>
      <c r="H32" s="9" t="s">
        <v>89</v>
      </c>
    </row>
    <row r="33" customFormat="false" ht="15" hidden="false" customHeight="false" outlineLevel="0" collapsed="false">
      <c r="A33" s="5"/>
      <c r="B33" s="5" t="s">
        <v>90</v>
      </c>
      <c r="C33" s="6" t="s">
        <v>91</v>
      </c>
      <c r="D33" s="7" t="n">
        <v>2</v>
      </c>
      <c r="E33" s="8" t="n">
        <v>18</v>
      </c>
      <c r="F33" s="8" t="n">
        <f aca="false">D33*E33</f>
        <v>36</v>
      </c>
      <c r="G33" s="5" t="s">
        <v>92</v>
      </c>
      <c r="H33" s="9" t="s">
        <v>93</v>
      </c>
    </row>
    <row r="34" customFormat="false" ht="15" hidden="false" customHeight="false" outlineLevel="0" collapsed="false">
      <c r="A34" s="5"/>
      <c r="B34" s="5" t="s">
        <v>94</v>
      </c>
      <c r="C34" s="6" t="s">
        <v>95</v>
      </c>
      <c r="D34" s="7" t="n">
        <v>1</v>
      </c>
      <c r="E34" s="8" t="n">
        <v>55</v>
      </c>
      <c r="F34" s="8" t="n">
        <f aca="false">D34*E34</f>
        <v>55</v>
      </c>
      <c r="G34" s="5" t="s">
        <v>96</v>
      </c>
      <c r="H34" s="9" t="s">
        <v>97</v>
      </c>
    </row>
    <row r="35" customFormat="false" ht="15" hidden="false" customHeight="false" outlineLevel="0" collapsed="false">
      <c r="A35" s="5"/>
      <c r="B35" s="5" t="s">
        <v>98</v>
      </c>
      <c r="C35" s="6" t="s">
        <v>99</v>
      </c>
      <c r="D35" s="7" t="n">
        <v>1</v>
      </c>
      <c r="E35" s="8" t="n">
        <v>8</v>
      </c>
      <c r="F35" s="8" t="n">
        <f aca="false">D35*E35</f>
        <v>8</v>
      </c>
      <c r="G35" s="5" t="s">
        <v>75</v>
      </c>
      <c r="H35" s="9" t="s">
        <v>100</v>
      </c>
    </row>
    <row r="36" customFormat="false" ht="15" hidden="false" customHeight="false" outlineLevel="0" collapsed="false">
      <c r="A36" s="5"/>
      <c r="B36" s="5" t="s">
        <v>101</v>
      </c>
      <c r="C36" s="6" t="s">
        <v>102</v>
      </c>
      <c r="D36" s="7" t="n">
        <v>2</v>
      </c>
      <c r="E36" s="8" t="n">
        <v>2.5</v>
      </c>
      <c r="F36" s="8" t="n">
        <f aca="false">D36*E36</f>
        <v>5</v>
      </c>
      <c r="G36" s="5" t="s">
        <v>103</v>
      </c>
      <c r="H36" s="9" t="s">
        <v>104</v>
      </c>
    </row>
    <row r="37" customFormat="false" ht="15" hidden="false" customHeight="false" outlineLevel="0" collapsed="false">
      <c r="A37" s="5"/>
      <c r="B37" s="5" t="s">
        <v>105</v>
      </c>
      <c r="C37" s="6" t="s">
        <v>106</v>
      </c>
      <c r="D37" s="7" t="n">
        <v>4</v>
      </c>
      <c r="E37" s="8" t="n">
        <v>0.8</v>
      </c>
      <c r="F37" s="8" t="n">
        <f aca="false">D37*E37</f>
        <v>3.2</v>
      </c>
      <c r="G37" s="5" t="s">
        <v>107</v>
      </c>
      <c r="H37" s="9" t="s">
        <v>108</v>
      </c>
    </row>
    <row r="38" customFormat="false" ht="15" hidden="false" customHeight="false" outlineLevel="0" collapsed="false">
      <c r="A38" s="5"/>
      <c r="B38" s="5" t="s">
        <v>109</v>
      </c>
      <c r="C38" s="6" t="s">
        <v>110</v>
      </c>
      <c r="D38" s="7" t="n">
        <v>2</v>
      </c>
      <c r="E38" s="8" t="n">
        <v>3.5</v>
      </c>
      <c r="F38" s="8" t="n">
        <f aca="false">D38*E38</f>
        <v>7</v>
      </c>
      <c r="G38" s="5" t="s">
        <v>103</v>
      </c>
      <c r="H38" s="9" t="s">
        <v>111</v>
      </c>
    </row>
    <row r="40" customFormat="false" ht="15" hidden="false" customHeight="false" outlineLevel="0" collapsed="false">
      <c r="A40" s="4" t="s">
        <v>112</v>
      </c>
      <c r="B40" s="4"/>
      <c r="C40" s="4"/>
      <c r="D40" s="4"/>
      <c r="E40" s="4"/>
      <c r="F40" s="4"/>
      <c r="G40" s="4"/>
      <c r="H40" s="4"/>
    </row>
    <row r="41" customFormat="false" ht="15" hidden="false" customHeight="false" outlineLevel="0" collapsed="false">
      <c r="A41" s="5"/>
      <c r="B41" s="5" t="s">
        <v>113</v>
      </c>
      <c r="C41" s="6" t="s">
        <v>114</v>
      </c>
      <c r="D41" s="7" t="n">
        <v>2</v>
      </c>
      <c r="E41" s="8" t="n">
        <v>65</v>
      </c>
      <c r="F41" s="8" t="n">
        <f aca="false">D41*E41</f>
        <v>130</v>
      </c>
      <c r="G41" s="5" t="s">
        <v>115</v>
      </c>
      <c r="H41" s="9" t="s">
        <v>116</v>
      </c>
    </row>
    <row r="42" customFormat="false" ht="15" hidden="false" customHeight="false" outlineLevel="0" collapsed="false">
      <c r="A42" s="5"/>
      <c r="B42" s="5" t="s">
        <v>117</v>
      </c>
      <c r="C42" s="6" t="s">
        <v>118</v>
      </c>
      <c r="D42" s="7" t="n">
        <v>2</v>
      </c>
      <c r="E42" s="8" t="n">
        <v>22</v>
      </c>
      <c r="F42" s="8" t="n">
        <f aca="false">D42*E42</f>
        <v>44</v>
      </c>
      <c r="G42" s="5" t="s">
        <v>119</v>
      </c>
      <c r="H42" s="9" t="s">
        <v>120</v>
      </c>
    </row>
    <row r="43" customFormat="false" ht="15" hidden="false" customHeight="false" outlineLevel="0" collapsed="false">
      <c r="A43" s="5"/>
      <c r="B43" s="5" t="s">
        <v>121</v>
      </c>
      <c r="C43" s="6" t="s">
        <v>122</v>
      </c>
      <c r="D43" s="7" t="n">
        <v>4</v>
      </c>
      <c r="E43" s="8" t="n">
        <v>8.5</v>
      </c>
      <c r="F43" s="8" t="n">
        <f aca="false">D43*E43</f>
        <v>34</v>
      </c>
      <c r="G43" s="5" t="s">
        <v>123</v>
      </c>
      <c r="H43" s="9" t="s">
        <v>124</v>
      </c>
    </row>
    <row r="45" customFormat="false" ht="15" hidden="false" customHeight="false" outlineLevel="0" collapsed="false">
      <c r="A45" s="4" t="s">
        <v>125</v>
      </c>
      <c r="B45" s="4"/>
      <c r="C45" s="4"/>
      <c r="D45" s="4"/>
      <c r="E45" s="4"/>
      <c r="F45" s="4"/>
      <c r="G45" s="4"/>
      <c r="H45" s="4"/>
    </row>
    <row r="46" customFormat="false" ht="15" hidden="false" customHeight="false" outlineLevel="0" collapsed="false">
      <c r="A46" s="5"/>
      <c r="B46" s="5" t="s">
        <v>126</v>
      </c>
      <c r="C46" s="6" t="s">
        <v>127</v>
      </c>
      <c r="D46" s="7" t="n">
        <v>6</v>
      </c>
      <c r="E46" s="8" t="n">
        <v>12</v>
      </c>
      <c r="F46" s="8" t="n">
        <f aca="false">D46*E46</f>
        <v>72</v>
      </c>
      <c r="G46" s="5" t="s">
        <v>128</v>
      </c>
      <c r="H46" s="9" t="s">
        <v>129</v>
      </c>
    </row>
    <row r="47" customFormat="false" ht="15" hidden="false" customHeight="false" outlineLevel="0" collapsed="false">
      <c r="A47" s="5"/>
      <c r="B47" s="5" t="s">
        <v>130</v>
      </c>
      <c r="C47" s="6" t="s">
        <v>131</v>
      </c>
      <c r="D47" s="7" t="n">
        <v>2</v>
      </c>
      <c r="E47" s="8" t="n">
        <v>25</v>
      </c>
      <c r="F47" s="8" t="n">
        <f aca="false">D47*E47</f>
        <v>50</v>
      </c>
      <c r="G47" s="5" t="s">
        <v>132</v>
      </c>
      <c r="H47" s="9" t="s">
        <v>133</v>
      </c>
    </row>
    <row r="48" customFormat="false" ht="15" hidden="false" customHeight="false" outlineLevel="0" collapsed="false">
      <c r="A48" s="5"/>
      <c r="B48" s="5" t="s">
        <v>134</v>
      </c>
      <c r="C48" s="6" t="s">
        <v>135</v>
      </c>
      <c r="D48" s="7" t="n">
        <v>3</v>
      </c>
      <c r="E48" s="8" t="n">
        <v>18</v>
      </c>
      <c r="F48" s="8" t="n">
        <f aca="false">D48*E48</f>
        <v>54</v>
      </c>
      <c r="G48" s="5" t="s">
        <v>136</v>
      </c>
      <c r="H48" s="9" t="s">
        <v>137</v>
      </c>
    </row>
    <row r="49" customFormat="false" ht="15" hidden="false" customHeight="false" outlineLevel="0" collapsed="false">
      <c r="A49" s="5"/>
      <c r="B49" s="5" t="s">
        <v>138</v>
      </c>
      <c r="C49" s="6" t="s">
        <v>139</v>
      </c>
      <c r="D49" s="7" t="n">
        <v>1</v>
      </c>
      <c r="E49" s="8" t="n">
        <v>35</v>
      </c>
      <c r="F49" s="8" t="n">
        <f aca="false">D49*E49</f>
        <v>35</v>
      </c>
      <c r="G49" s="5" t="s">
        <v>140</v>
      </c>
      <c r="H49" s="9" t="s">
        <v>141</v>
      </c>
    </row>
    <row r="50" customFormat="false" ht="15" hidden="false" customHeight="false" outlineLevel="0" collapsed="false">
      <c r="A50" s="5"/>
      <c r="B50" s="5" t="s">
        <v>142</v>
      </c>
      <c r="C50" s="6" t="s">
        <v>143</v>
      </c>
      <c r="D50" s="7" t="n">
        <v>4</v>
      </c>
      <c r="E50" s="8" t="n">
        <v>12</v>
      </c>
      <c r="F50" s="8" t="n">
        <f aca="false">D50*E50</f>
        <v>48</v>
      </c>
      <c r="G50" s="5" t="s">
        <v>144</v>
      </c>
      <c r="H50" s="9" t="s">
        <v>145</v>
      </c>
    </row>
    <row r="51" customFormat="false" ht="15" hidden="false" customHeight="false" outlineLevel="0" collapsed="false">
      <c r="A51" s="5"/>
      <c r="B51" s="5" t="s">
        <v>146</v>
      </c>
      <c r="C51" s="6" t="s">
        <v>147</v>
      </c>
      <c r="D51" s="7" t="n">
        <v>1</v>
      </c>
      <c r="E51" s="8" t="n">
        <v>25</v>
      </c>
      <c r="F51" s="8" t="n">
        <f aca="false">D51*E51</f>
        <v>25</v>
      </c>
      <c r="G51" s="5" t="s">
        <v>148</v>
      </c>
      <c r="H51" s="9" t="s">
        <v>149</v>
      </c>
    </row>
    <row r="52" customFormat="false" ht="15" hidden="false" customHeight="false" outlineLevel="0" collapsed="false">
      <c r="A52" s="5"/>
      <c r="B52" s="5" t="s">
        <v>150</v>
      </c>
      <c r="C52" s="6" t="s">
        <v>151</v>
      </c>
      <c r="D52" s="7" t="n">
        <v>1</v>
      </c>
      <c r="E52" s="8" t="n">
        <v>45</v>
      </c>
      <c r="F52" s="8" t="n">
        <f aca="false">D52*E52</f>
        <v>45</v>
      </c>
      <c r="G52" s="5" t="s">
        <v>152</v>
      </c>
      <c r="H52" s="9" t="s">
        <v>153</v>
      </c>
    </row>
    <row r="53" customFormat="false" ht="15" hidden="false" customHeight="false" outlineLevel="0" collapsed="false">
      <c r="A53" s="5"/>
      <c r="B53" s="5" t="s">
        <v>154</v>
      </c>
      <c r="C53" s="6" t="s">
        <v>155</v>
      </c>
      <c r="D53" s="7" t="n">
        <v>1</v>
      </c>
      <c r="E53" s="8" t="n">
        <v>20</v>
      </c>
      <c r="F53" s="8" t="n">
        <f aca="false">D53*E53</f>
        <v>20</v>
      </c>
      <c r="G53" s="5" t="s">
        <v>148</v>
      </c>
      <c r="H53" s="9" t="s">
        <v>156</v>
      </c>
    </row>
    <row r="55" customFormat="false" ht="15" hidden="false" customHeight="false" outlineLevel="0" collapsed="false">
      <c r="A55" s="10" t="s">
        <v>157</v>
      </c>
      <c r="B55" s="10"/>
      <c r="C55" s="10"/>
      <c r="D55" s="10"/>
      <c r="E55" s="10"/>
      <c r="F55" s="11" t="n">
        <f aca="false">SUM(F6:F53)</f>
        <v>2919.7</v>
      </c>
      <c r="G55" s="12"/>
      <c r="H55" s="12"/>
    </row>
    <row r="57" customFormat="false" ht="15" hidden="false" customHeight="false" outlineLevel="0" collapsed="false">
      <c r="A57" s="13" t="s">
        <v>158</v>
      </c>
    </row>
    <row r="58" customFormat="false" ht="15" hidden="false" customHeight="false" outlineLevel="0" collapsed="false">
      <c r="A58" s="14" t="s">
        <v>159</v>
      </c>
      <c r="B58" s="14"/>
      <c r="C58" s="14"/>
      <c r="D58" s="14"/>
      <c r="E58" s="14"/>
      <c r="F58" s="14"/>
      <c r="G58" s="14"/>
      <c r="H58" s="14"/>
    </row>
    <row r="59" customFormat="false" ht="15" hidden="false" customHeight="false" outlineLevel="0" collapsed="false">
      <c r="A59" s="14" t="s">
        <v>160</v>
      </c>
      <c r="B59" s="14"/>
      <c r="C59" s="14"/>
      <c r="D59" s="14"/>
      <c r="E59" s="14"/>
      <c r="F59" s="14"/>
      <c r="G59" s="14"/>
      <c r="H59" s="14"/>
    </row>
    <row r="60" customFormat="false" ht="15" hidden="false" customHeight="false" outlineLevel="0" collapsed="false">
      <c r="A60" s="14" t="s">
        <v>161</v>
      </c>
      <c r="B60" s="14"/>
      <c r="C60" s="14"/>
      <c r="D60" s="14"/>
      <c r="E60" s="14"/>
      <c r="F60" s="14"/>
      <c r="G60" s="14"/>
      <c r="H60" s="14"/>
    </row>
    <row r="61" customFormat="false" ht="15" hidden="false" customHeight="false" outlineLevel="0" collapsed="false">
      <c r="A61" s="14" t="s">
        <v>162</v>
      </c>
      <c r="B61" s="14"/>
      <c r="C61" s="14"/>
      <c r="D61" s="14"/>
      <c r="E61" s="14"/>
      <c r="F61" s="14"/>
      <c r="G61" s="14"/>
      <c r="H61" s="14"/>
    </row>
  </sheetData>
  <mergeCells count="14">
    <mergeCell ref="A1:H1"/>
    <mergeCell ref="A2:H2"/>
    <mergeCell ref="A5:H5"/>
    <mergeCell ref="A10:H10"/>
    <mergeCell ref="A20:H20"/>
    <mergeCell ref="A25:H25"/>
    <mergeCell ref="A31:H31"/>
    <mergeCell ref="A40:H40"/>
    <mergeCell ref="A45:H45"/>
    <mergeCell ref="A55:E55"/>
    <mergeCell ref="A58:H58"/>
    <mergeCell ref="A59:H59"/>
    <mergeCell ref="A60:H60"/>
    <mergeCell ref="A61:H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2026-05-03T07:01:37Z</dcterms:created>
  <dc:creator>openpyxl</dc:creator>
  <dc:description/>
  <dc:language>en-US</dc:language>
  <cp:lastModifiedBy/>
  <dcterms:modified xsi:type="dcterms:W3CDTF">2026-05-03T07:01:37Z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